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analyst\trend analysis\"/>
    </mc:Choice>
  </mc:AlternateContent>
  <xr:revisionPtr revIDLastSave="0" documentId="13_ncr:1_{5B13C8A5-2BE9-4151-9A21-E9328922658C}" xr6:coauthVersionLast="47" xr6:coauthVersionMax="47" xr10:uidLastSave="{00000000-0000-0000-0000-000000000000}"/>
  <bookViews>
    <workbookView xWindow="-108" yWindow="-108" windowWidth="23256" windowHeight="13176" xr2:uid="{E3BD3AFF-0B8D-49AE-9649-41B0764CCA84}"/>
  </bookViews>
  <sheets>
    <sheet name="trend analysi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8" i="1" l="1"/>
  <c r="T28" i="1"/>
  <c r="S28" i="1"/>
  <c r="R28" i="1"/>
  <c r="Q28" i="1"/>
  <c r="P28" i="1"/>
  <c r="O28" i="1"/>
  <c r="N28" i="1"/>
  <c r="M28" i="1"/>
  <c r="U27" i="1"/>
  <c r="T27" i="1"/>
  <c r="S27" i="1"/>
  <c r="R27" i="1"/>
  <c r="Q27" i="1"/>
  <c r="P27" i="1"/>
  <c r="O27" i="1"/>
  <c r="N27" i="1"/>
  <c r="M27" i="1"/>
  <c r="U26" i="1"/>
  <c r="T26" i="1"/>
  <c r="S26" i="1"/>
  <c r="R26" i="1"/>
  <c r="Q26" i="1"/>
  <c r="P26" i="1"/>
  <c r="O26" i="1"/>
  <c r="N26" i="1"/>
  <c r="M26" i="1"/>
  <c r="U25" i="1"/>
  <c r="T25" i="1"/>
  <c r="S25" i="1"/>
  <c r="R25" i="1"/>
  <c r="Q25" i="1"/>
  <c r="P25" i="1"/>
  <c r="O25" i="1"/>
  <c r="N25" i="1"/>
  <c r="M25" i="1"/>
  <c r="U22" i="1"/>
  <c r="T22" i="1"/>
  <c r="S22" i="1"/>
  <c r="R22" i="1"/>
  <c r="Q22" i="1"/>
  <c r="P22" i="1"/>
  <c r="O22" i="1"/>
  <c r="N22" i="1"/>
  <c r="M22" i="1"/>
  <c r="U21" i="1"/>
  <c r="T21" i="1"/>
  <c r="S21" i="1"/>
  <c r="R21" i="1"/>
  <c r="Q21" i="1"/>
  <c r="P21" i="1"/>
  <c r="O21" i="1"/>
  <c r="N21" i="1"/>
  <c r="M21" i="1"/>
  <c r="U20" i="1"/>
  <c r="T20" i="1"/>
  <c r="S20" i="1"/>
  <c r="R20" i="1"/>
  <c r="Q20" i="1"/>
  <c r="P20" i="1"/>
  <c r="O20" i="1"/>
  <c r="N20" i="1"/>
  <c r="M20" i="1"/>
  <c r="U19" i="1"/>
  <c r="T19" i="1"/>
  <c r="S19" i="1"/>
  <c r="R19" i="1"/>
  <c r="Q19" i="1"/>
  <c r="P19" i="1"/>
  <c r="O19" i="1"/>
  <c r="N19" i="1"/>
  <c r="M19" i="1"/>
  <c r="U18" i="1"/>
  <c r="T18" i="1"/>
  <c r="S18" i="1"/>
  <c r="R18" i="1"/>
  <c r="Q18" i="1"/>
  <c r="P18" i="1"/>
  <c r="O18" i="1"/>
  <c r="N18" i="1"/>
  <c r="M18" i="1"/>
  <c r="U12" i="1"/>
  <c r="T12" i="1"/>
  <c r="S12" i="1"/>
  <c r="R12" i="1"/>
  <c r="Q12" i="1"/>
  <c r="P12" i="1"/>
  <c r="O12" i="1"/>
  <c r="N12" i="1"/>
  <c r="M12" i="1"/>
  <c r="U11" i="1"/>
  <c r="T11" i="1"/>
  <c r="S11" i="1"/>
  <c r="R11" i="1"/>
  <c r="Q11" i="1"/>
  <c r="P11" i="1"/>
  <c r="O11" i="1"/>
  <c r="N11" i="1"/>
  <c r="M11" i="1"/>
  <c r="U10" i="1"/>
  <c r="T10" i="1"/>
  <c r="S10" i="1"/>
  <c r="R10" i="1"/>
  <c r="Q10" i="1"/>
  <c r="P10" i="1"/>
  <c r="O10" i="1"/>
  <c r="N10" i="1"/>
  <c r="M10" i="1"/>
  <c r="U7" i="1"/>
  <c r="T7" i="1"/>
  <c r="S7" i="1"/>
  <c r="R7" i="1"/>
  <c r="Q7" i="1"/>
  <c r="P7" i="1"/>
  <c r="O7" i="1"/>
  <c r="N7" i="1"/>
  <c r="M7" i="1"/>
  <c r="U6" i="1"/>
  <c r="T6" i="1"/>
  <c r="S6" i="1"/>
  <c r="R6" i="1"/>
  <c r="Q6" i="1"/>
  <c r="P6" i="1"/>
  <c r="O6" i="1"/>
  <c r="N6" i="1"/>
  <c r="M6" i="1"/>
</calcChain>
</file>

<file path=xl/sharedStrings.xml><?xml version="1.0" encoding="utf-8"?>
<sst xmlns="http://schemas.openxmlformats.org/spreadsheetml/2006/main" count="64" uniqueCount="33">
  <si>
    <t>PROFIT AND LOSS A/C OF ORIENT ELECTRIC LIMITED FOR 2024 &amp; 2025</t>
  </si>
  <si>
    <t>(amounts in Crores)</t>
  </si>
  <si>
    <t>PARTICULAR</t>
  </si>
  <si>
    <t>MARCH 31 2016</t>
  </si>
  <si>
    <t>MARCH 31 2017</t>
  </si>
  <si>
    <t>MARCH 31 2018</t>
  </si>
  <si>
    <t>MARCH 31 2019</t>
  </si>
  <si>
    <t>MARCH 31 2020</t>
  </si>
  <si>
    <t>MARCH 31 2021</t>
  </si>
  <si>
    <t>MARCH 31 2022</t>
  </si>
  <si>
    <t>MARCH 31 2023</t>
  </si>
  <si>
    <t>MARCH 31 2024</t>
  </si>
  <si>
    <t>MARCH 31 2025</t>
  </si>
  <si>
    <t>INCOME</t>
  </si>
  <si>
    <t>Revenue from operations</t>
  </si>
  <si>
    <t>Total Income</t>
  </si>
  <si>
    <t>EXPENSES</t>
  </si>
  <si>
    <t>Total Expenses</t>
  </si>
  <si>
    <t>Profit before tax</t>
  </si>
  <si>
    <t>Profit for the year</t>
  </si>
  <si>
    <t>BALANCE SHEET OF ORIENT ELECTRIC LIMITED FOR 2024 &amp; 2025</t>
  </si>
  <si>
    <t>percentage</t>
  </si>
  <si>
    <t>ASSETS</t>
  </si>
  <si>
    <t>Total Non-Current Assets</t>
  </si>
  <si>
    <t>Cash and Cash Equivalents</t>
  </si>
  <si>
    <t>Other Bank Balances</t>
  </si>
  <si>
    <t>Total Current Assets</t>
  </si>
  <si>
    <t>Total Assets</t>
  </si>
  <si>
    <t>LIABILITIES</t>
  </si>
  <si>
    <t>Total Non-Current Liabilities</t>
  </si>
  <si>
    <t>Current Borrowings</t>
  </si>
  <si>
    <t>Total Current Liabilities</t>
  </si>
  <si>
    <t>Total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</si>
</sst>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1]\-0%;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3F3F3F"/>
      <name val="Arial"/>
      <family val="2"/>
    </font>
    <font>
      <b/>
      <sz val="11"/>
      <color rgb="FF3F3F3F"/>
      <name val="Arial"/>
      <family val="2"/>
    </font>
    <font>
      <sz val="12"/>
      <color theme="1"/>
      <name val="Arial"/>
      <family val="2"/>
    </font>
    <font>
      <b/>
      <sz val="11"/>
      <color rgb="FF00B0F0"/>
      <name val="Arial"/>
      <family val="2"/>
    </font>
    <font>
      <sz val="12"/>
      <color rgb="FF3F3F3F"/>
      <name val="Arial"/>
      <family val="2"/>
    </font>
    <font>
      <b/>
      <sz val="12"/>
      <color rgb="FFFF0000"/>
      <name val="Arial"/>
      <family val="2"/>
    </font>
    <font>
      <b/>
      <sz val="12"/>
      <color rgb="FF00B0F0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40">
    <xf numFmtId="0" fontId="0" fillId="0" borderId="0" xfId="0"/>
    <xf numFmtId="0" fontId="3" fillId="4" borderId="3" xfId="2" applyFont="1" applyFill="1" applyBorder="1" applyAlignment="1">
      <alignment horizontal="center" vertical="center"/>
    </xf>
    <xf numFmtId="0" fontId="3" fillId="5" borderId="4" xfId="2" applyFont="1" applyFill="1" applyBorder="1" applyAlignment="1">
      <alignment horizontal="center" vertical="center" wrapText="1"/>
    </xf>
    <xf numFmtId="0" fontId="3" fillId="5" borderId="5" xfId="2" applyFont="1" applyFill="1" applyBorder="1" applyAlignment="1">
      <alignment horizontal="center" vertical="center" wrapText="1"/>
    </xf>
    <xf numFmtId="0" fontId="3" fillId="6" borderId="3" xfId="2" applyFont="1" applyFill="1" applyBorder="1" applyAlignment="1">
      <alignment horizontal="center" vertical="center" wrapText="1"/>
    </xf>
    <xf numFmtId="0" fontId="2" fillId="4" borderId="3" xfId="2" applyFill="1" applyBorder="1"/>
    <xf numFmtId="0" fontId="5" fillId="4" borderId="3" xfId="0" applyFont="1" applyFill="1" applyBorder="1"/>
    <xf numFmtId="0" fontId="5" fillId="4" borderId="6" xfId="0" applyFont="1" applyFill="1" applyBorder="1"/>
    <xf numFmtId="0" fontId="0" fillId="4" borderId="3" xfId="0" applyFill="1" applyBorder="1"/>
    <xf numFmtId="0" fontId="6" fillId="4" borderId="3" xfId="2" applyFont="1" applyFill="1" applyBorder="1" applyAlignment="1">
      <alignment horizontal="left" vertical="center"/>
    </xf>
    <xf numFmtId="0" fontId="7" fillId="4" borderId="3" xfId="2" applyFont="1" applyFill="1" applyBorder="1" applyAlignment="1">
      <alignment horizontal="left" vertical="center"/>
    </xf>
    <xf numFmtId="10" fontId="5" fillId="4" borderId="3" xfId="1" applyNumberFormat="1" applyFont="1" applyFill="1" applyBorder="1"/>
    <xf numFmtId="164" fontId="7" fillId="4" borderId="3" xfId="2" applyNumberFormat="1" applyFont="1" applyFill="1" applyBorder="1" applyAlignment="1">
      <alignment horizontal="right" vertical="center"/>
    </xf>
    <xf numFmtId="0" fontId="8" fillId="4" borderId="3" xfId="2" applyFont="1" applyFill="1" applyBorder="1" applyAlignment="1">
      <alignment horizontal="left" vertical="center"/>
    </xf>
    <xf numFmtId="9" fontId="5" fillId="4" borderId="3" xfId="1" applyFont="1" applyFill="1" applyBorder="1"/>
    <xf numFmtId="0" fontId="3" fillId="4" borderId="3" xfId="2" applyFont="1" applyFill="1" applyBorder="1" applyAlignment="1">
      <alignment horizontal="left" vertical="center"/>
    </xf>
    <xf numFmtId="0" fontId="9" fillId="4" borderId="3" xfId="2" applyFont="1" applyFill="1" applyBorder="1" applyAlignment="1">
      <alignment horizontal="left" vertical="center"/>
    </xf>
    <xf numFmtId="0" fontId="3" fillId="4" borderId="9" xfId="2" applyFont="1" applyFill="1" applyBorder="1" applyAlignment="1">
      <alignment horizontal="center" vertical="center" wrapText="1"/>
    </xf>
    <xf numFmtId="0" fontId="3" fillId="5" borderId="10" xfId="2" applyFont="1" applyFill="1" applyBorder="1" applyAlignment="1">
      <alignment horizontal="center" vertical="center" wrapText="1"/>
    </xf>
    <xf numFmtId="0" fontId="3" fillId="5" borderId="11" xfId="2" applyFont="1" applyFill="1" applyBorder="1" applyAlignment="1">
      <alignment horizontal="center" vertical="center" wrapText="1"/>
    </xf>
    <xf numFmtId="0" fontId="3" fillId="6" borderId="9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wrapText="1"/>
    </xf>
    <xf numFmtId="10" fontId="0" fillId="0" borderId="3" xfId="1" applyNumberFormat="1" applyFont="1" applyBorder="1"/>
    <xf numFmtId="0" fontId="10" fillId="0" borderId="3" xfId="0" applyFont="1" applyBorder="1"/>
    <xf numFmtId="0" fontId="9" fillId="4" borderId="3" xfId="2" applyFont="1" applyFill="1" applyBorder="1" applyAlignment="1">
      <alignment wrapText="1"/>
    </xf>
    <xf numFmtId="0" fontId="7" fillId="4" borderId="3" xfId="2" applyFont="1" applyFill="1" applyBorder="1" applyAlignment="1">
      <alignment wrapText="1"/>
    </xf>
    <xf numFmtId="10" fontId="5" fillId="0" borderId="3" xfId="1" applyNumberFormat="1" applyFont="1" applyBorder="1" applyAlignment="1">
      <alignment horizontal="right" vertical="center"/>
    </xf>
    <xf numFmtId="9" fontId="5" fillId="0" borderId="3" xfId="1" applyFont="1" applyBorder="1" applyAlignment="1">
      <alignment horizontal="right" vertical="center"/>
    </xf>
    <xf numFmtId="0" fontId="7" fillId="4" borderId="3" xfId="2" applyFont="1" applyFill="1" applyBorder="1" applyAlignment="1">
      <alignment horizontal="left" wrapText="1"/>
    </xf>
    <xf numFmtId="0" fontId="7" fillId="4" borderId="3" xfId="2" applyFont="1" applyFill="1" applyBorder="1" applyAlignment="1">
      <alignment horizontal="left" vertical="center" wrapText="1"/>
    </xf>
    <xf numFmtId="2" fontId="5" fillId="4" borderId="3" xfId="0" applyNumberFormat="1" applyFont="1" applyFill="1" applyBorder="1"/>
    <xf numFmtId="0" fontId="8" fillId="4" borderId="3" xfId="2" applyFont="1" applyFill="1" applyBorder="1" applyAlignment="1">
      <alignment wrapText="1"/>
    </xf>
    <xf numFmtId="0" fontId="3" fillId="3" borderId="2" xfId="2" applyFont="1" applyFill="1" applyBorder="1" applyAlignment="1">
      <alignment horizontal="center"/>
    </xf>
    <xf numFmtId="0" fontId="3" fillId="3" borderId="0" xfId="2" applyFont="1" applyFill="1" applyBorder="1" applyAlignment="1">
      <alignment horizontal="center"/>
    </xf>
    <xf numFmtId="0" fontId="4" fillId="4" borderId="2" xfId="2" applyFont="1" applyFill="1" applyBorder="1" applyAlignment="1">
      <alignment horizontal="right" vertical="center"/>
    </xf>
    <xf numFmtId="0" fontId="4" fillId="4" borderId="0" xfId="2" applyFont="1" applyFill="1" applyBorder="1" applyAlignment="1">
      <alignment horizontal="right" vertical="center"/>
    </xf>
    <xf numFmtId="0" fontId="3" fillId="3" borderId="7" xfId="2" applyFont="1" applyFill="1" applyBorder="1" applyAlignment="1">
      <alignment horizontal="center" wrapText="1"/>
    </xf>
    <xf numFmtId="0" fontId="3" fillId="3" borderId="8" xfId="2" applyFont="1" applyFill="1" applyBorder="1" applyAlignment="1">
      <alignment horizontal="center" wrapText="1"/>
    </xf>
    <xf numFmtId="0" fontId="3" fillId="4" borderId="3" xfId="2" applyFont="1" applyFill="1" applyBorder="1" applyAlignment="1">
      <alignment horizontal="right" vertical="center" wrapText="1"/>
    </xf>
    <xf numFmtId="0" fontId="0" fillId="7" borderId="0" xfId="0" applyFill="1"/>
  </cellXfs>
  <cellStyles count="3"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21168</xdr:colOff>
      <xdr:row>2</xdr:row>
      <xdr:rowOff>359834</xdr:rowOff>
    </xdr:from>
    <xdr:to>
      <xdr:col>27</xdr:col>
      <xdr:colOff>592667</xdr:colOff>
      <xdr:row>26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BFB22A-FD72-C8E1-93BE-ED677B8BFE2F}"/>
            </a:ext>
          </a:extLst>
        </xdr:cNvPr>
        <xdr:cNvSpPr txBox="1"/>
      </xdr:nvSpPr>
      <xdr:spPr>
        <a:xfrm>
          <a:off x="15176501" y="740834"/>
          <a:ext cx="3640666" cy="534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TREND </a:t>
          </a:r>
        </a:p>
        <a:p>
          <a:r>
            <a:rPr lang="en-IN" sz="360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ANALYSIS </a:t>
          </a:r>
        </a:p>
        <a:p>
          <a:r>
            <a:rPr lang="en-IN" sz="360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OF</a:t>
          </a:r>
        </a:p>
        <a:p>
          <a:r>
            <a:rPr lang="en-IN" sz="360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CROMPTON</a:t>
          </a:r>
        </a:p>
        <a:p>
          <a:r>
            <a:rPr lang="en-IN" sz="360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PVT</a:t>
          </a:r>
          <a:r>
            <a:rPr lang="en-IN" sz="3600" baseline="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 LTD </a:t>
          </a:r>
        </a:p>
        <a:p>
          <a:r>
            <a:rPr lang="en-IN" sz="3600" baseline="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FROM</a:t>
          </a:r>
        </a:p>
        <a:p>
          <a:r>
            <a:rPr lang="en-IN" sz="3600" baseline="0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2016 TO 2025</a:t>
          </a:r>
          <a:endParaRPr lang="en-IN" sz="3600">
            <a:solidFill>
              <a:schemeClr val="bg1"/>
            </a:soli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A683-EC98-42D2-BDEB-31A49D4DB1FA}">
  <dimension ref="A1:AB28"/>
  <sheetViews>
    <sheetView tabSelected="1" zoomScale="72" zoomScaleNormal="72" workbookViewId="0">
      <selection activeCell="V34" sqref="V34"/>
    </sheetView>
  </sheetViews>
  <sheetFormatPr defaultRowHeight="14.4" x14ac:dyDescent="0.3"/>
  <cols>
    <col min="1" max="1" width="31.5546875" customWidth="1"/>
    <col min="12" max="12" width="10.44140625" customWidth="1"/>
  </cols>
  <sheetData>
    <row r="1" spans="1:28" ht="15.6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8" x14ac:dyDescent="0.3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W2" s="39"/>
      <c r="X2" s="39"/>
      <c r="Y2" s="39"/>
      <c r="Z2" s="39"/>
      <c r="AA2" s="39"/>
      <c r="AB2" s="39"/>
    </row>
    <row r="3" spans="1:28" ht="46.8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3" t="s">
        <v>12</v>
      </c>
      <c r="L3" s="4" t="s">
        <v>3</v>
      </c>
      <c r="M3" s="4" t="s">
        <v>4</v>
      </c>
      <c r="N3" s="4" t="s">
        <v>5</v>
      </c>
      <c r="O3" s="4" t="s">
        <v>6</v>
      </c>
      <c r="P3" s="4" t="s">
        <v>7</v>
      </c>
      <c r="Q3" s="4" t="s">
        <v>8</v>
      </c>
      <c r="R3" s="4" t="s">
        <v>9</v>
      </c>
      <c r="S3" s="4" t="s">
        <v>10</v>
      </c>
      <c r="T3" s="4" t="s">
        <v>11</v>
      </c>
      <c r="U3" s="4" t="s">
        <v>12</v>
      </c>
      <c r="W3" s="39"/>
      <c r="X3" s="39"/>
      <c r="Y3" s="39"/>
      <c r="Z3" s="39"/>
      <c r="AA3" s="39"/>
      <c r="AB3" s="39"/>
    </row>
    <row r="4" spans="1:28" ht="15.6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W4" s="39"/>
      <c r="X4" s="39"/>
      <c r="Y4" s="39"/>
      <c r="Z4" s="39"/>
      <c r="AA4" s="39"/>
      <c r="AB4" s="39"/>
    </row>
    <row r="5" spans="1:28" ht="15.6" x14ac:dyDescent="0.3">
      <c r="A5" s="9" t="s">
        <v>13</v>
      </c>
      <c r="B5" s="6"/>
      <c r="C5" s="6"/>
      <c r="D5" s="6"/>
      <c r="E5" s="6"/>
      <c r="F5" s="6"/>
      <c r="G5" s="6"/>
      <c r="H5" s="6"/>
      <c r="I5" s="6"/>
      <c r="J5" s="6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W5" s="39"/>
      <c r="X5" s="39"/>
      <c r="Y5" s="39"/>
      <c r="Z5" s="39"/>
      <c r="AA5" s="39"/>
      <c r="AB5" s="39"/>
    </row>
    <row r="6" spans="1:28" ht="15.6" x14ac:dyDescent="0.3">
      <c r="A6" s="10" t="s">
        <v>14</v>
      </c>
      <c r="B6" s="6">
        <v>1811.68</v>
      </c>
      <c r="C6" s="6">
        <v>3975.9</v>
      </c>
      <c r="D6" s="6">
        <v>4105.12</v>
      </c>
      <c r="E6" s="6">
        <v>4647.8999999999996</v>
      </c>
      <c r="F6" s="6">
        <v>5175.7</v>
      </c>
      <c r="G6" s="6">
        <v>5420</v>
      </c>
      <c r="H6" s="6">
        <v>6289.58</v>
      </c>
      <c r="I6" s="6">
        <v>7156.48</v>
      </c>
      <c r="J6" s="6">
        <v>8320.5499999999993</v>
      </c>
      <c r="K6" s="7">
        <v>9145.7999999999993</v>
      </c>
      <c r="L6" s="11">
        <v>1</v>
      </c>
      <c r="M6" s="12">
        <f t="shared" ref="M6:U6" si="0">C6/$B$6</f>
        <v>2.1945928640819572</v>
      </c>
      <c r="N6" s="12">
        <f t="shared" si="0"/>
        <v>2.2659189260796606</v>
      </c>
      <c r="O6" s="12">
        <f t="shared" si="0"/>
        <v>2.5655192970060936</v>
      </c>
      <c r="P6" s="12">
        <f t="shared" si="0"/>
        <v>2.8568510995319261</v>
      </c>
      <c r="Q6" s="12">
        <f t="shared" si="0"/>
        <v>2.9916983131678885</v>
      </c>
      <c r="R6" s="12">
        <f t="shared" si="0"/>
        <v>3.4716837410580235</v>
      </c>
      <c r="S6" s="12">
        <f t="shared" si="0"/>
        <v>3.95018987900733</v>
      </c>
      <c r="T6" s="12">
        <f t="shared" si="0"/>
        <v>4.5927260884924488</v>
      </c>
      <c r="U6" s="12">
        <f t="shared" si="0"/>
        <v>5.0482425152344783</v>
      </c>
      <c r="W6" s="39"/>
      <c r="X6" s="39"/>
      <c r="Y6" s="39"/>
      <c r="Z6" s="39"/>
      <c r="AA6" s="39"/>
      <c r="AB6" s="39"/>
    </row>
    <row r="7" spans="1:28" ht="15.6" x14ac:dyDescent="0.3">
      <c r="A7" s="13" t="s">
        <v>15</v>
      </c>
      <c r="B7" s="6">
        <v>1815.53</v>
      </c>
      <c r="C7" s="6">
        <v>3995.4</v>
      </c>
      <c r="D7" s="6">
        <v>4135.87</v>
      </c>
      <c r="E7" s="6">
        <v>4685.2</v>
      </c>
      <c r="F7" s="6">
        <v>5220.3999999999996</v>
      </c>
      <c r="G7" s="6">
        <v>5468.5</v>
      </c>
      <c r="H7" s="6">
        <v>6350.5</v>
      </c>
      <c r="I7" s="6">
        <v>7220.35</v>
      </c>
      <c r="J7" s="6">
        <v>8401.1</v>
      </c>
      <c r="K7" s="7">
        <v>9225.6</v>
      </c>
      <c r="L7" s="11">
        <v>1</v>
      </c>
      <c r="M7" s="14">
        <f t="shared" ref="M7:U7" si="1">C7/$B$7</f>
        <v>2.2006796913298046</v>
      </c>
      <c r="N7" s="14">
        <f t="shared" si="1"/>
        <v>2.2780510374381033</v>
      </c>
      <c r="O7" s="14">
        <f t="shared" si="1"/>
        <v>2.5806238398704511</v>
      </c>
      <c r="P7" s="14">
        <f t="shared" si="1"/>
        <v>2.8754137910141941</v>
      </c>
      <c r="Q7" s="14">
        <f t="shared" si="1"/>
        <v>3.0120681013257835</v>
      </c>
      <c r="R7" s="14">
        <f t="shared" si="1"/>
        <v>3.4978766530985443</v>
      </c>
      <c r="S7" s="14">
        <f t="shared" si="1"/>
        <v>3.9769929442091292</v>
      </c>
      <c r="T7" s="14">
        <f t="shared" si="1"/>
        <v>4.6273539958028787</v>
      </c>
      <c r="U7" s="14">
        <f t="shared" si="1"/>
        <v>5.0814913551414742</v>
      </c>
      <c r="W7" s="39"/>
      <c r="X7" s="39"/>
      <c r="Y7" s="39"/>
      <c r="Z7" s="39"/>
      <c r="AA7" s="39"/>
      <c r="AB7" s="39"/>
    </row>
    <row r="8" spans="1:28" ht="15.6" x14ac:dyDescent="0.3">
      <c r="A8" s="15"/>
      <c r="B8" s="6"/>
      <c r="C8" s="6"/>
      <c r="D8" s="6"/>
      <c r="E8" s="6"/>
      <c r="F8" s="6"/>
      <c r="G8" s="6"/>
      <c r="H8" s="6"/>
      <c r="I8" s="6"/>
      <c r="J8" s="6"/>
      <c r="K8" s="7"/>
      <c r="L8" s="11"/>
      <c r="M8" s="6"/>
      <c r="N8" s="6"/>
      <c r="O8" s="6"/>
      <c r="P8" s="6"/>
      <c r="Q8" s="6"/>
      <c r="R8" s="6"/>
      <c r="S8" s="6"/>
      <c r="T8" s="6"/>
      <c r="U8" s="6"/>
      <c r="W8" s="39"/>
      <c r="X8" s="39"/>
      <c r="Y8" s="39"/>
      <c r="Z8" s="39"/>
      <c r="AA8" s="39"/>
      <c r="AB8" s="39"/>
    </row>
    <row r="9" spans="1:28" ht="15.6" x14ac:dyDescent="0.3">
      <c r="A9" s="16" t="s">
        <v>16</v>
      </c>
      <c r="B9" s="6"/>
      <c r="C9" s="6"/>
      <c r="D9" s="6"/>
      <c r="E9" s="6"/>
      <c r="F9" s="6"/>
      <c r="G9" s="6"/>
      <c r="H9" s="6"/>
      <c r="I9" s="6"/>
      <c r="J9" s="6"/>
      <c r="K9" s="7"/>
      <c r="L9" s="11"/>
      <c r="M9" s="6"/>
      <c r="N9" s="6"/>
      <c r="O9" s="6"/>
      <c r="P9" s="6"/>
      <c r="Q9" s="6"/>
      <c r="R9" s="6"/>
      <c r="S9" s="6"/>
      <c r="T9" s="6"/>
      <c r="U9" s="6"/>
      <c r="W9" s="39"/>
      <c r="X9" s="39"/>
      <c r="Y9" s="39"/>
      <c r="Z9" s="39"/>
      <c r="AA9" s="39"/>
      <c r="AB9" s="39"/>
    </row>
    <row r="10" spans="1:28" ht="15.6" x14ac:dyDescent="0.3">
      <c r="A10" s="10" t="s">
        <v>17</v>
      </c>
      <c r="B10" s="6">
        <v>1643.92</v>
      </c>
      <c r="C10" s="6">
        <v>3608.6</v>
      </c>
      <c r="D10" s="6">
        <v>3650.43</v>
      </c>
      <c r="E10" s="6">
        <v>4164.3</v>
      </c>
      <c r="F10" s="6">
        <v>4662.8500000000004</v>
      </c>
      <c r="G10" s="6">
        <v>4890.75</v>
      </c>
      <c r="H10" s="6">
        <v>5680.2</v>
      </c>
      <c r="I10" s="6">
        <v>6480.75</v>
      </c>
      <c r="J10" s="6">
        <v>7510.2</v>
      </c>
      <c r="K10" s="7">
        <v>8260.4</v>
      </c>
      <c r="L10" s="11">
        <v>1</v>
      </c>
      <c r="M10" s="14">
        <f t="shared" ref="M10:U10" si="2">C10/$B$10</f>
        <v>2.1951189838921601</v>
      </c>
      <c r="N10" s="14">
        <f t="shared" si="2"/>
        <v>2.2205642610346001</v>
      </c>
      <c r="O10" s="14">
        <f t="shared" si="2"/>
        <v>2.5331524648401382</v>
      </c>
      <c r="P10" s="14">
        <f t="shared" si="2"/>
        <v>2.8364214803640082</v>
      </c>
      <c r="Q10" s="14">
        <f t="shared" si="2"/>
        <v>2.9750535305854298</v>
      </c>
      <c r="R10" s="14">
        <f t="shared" si="2"/>
        <v>3.4552776290817069</v>
      </c>
      <c r="S10" s="14">
        <f t="shared" si="2"/>
        <v>3.9422538809674434</v>
      </c>
      <c r="T10" s="14">
        <f t="shared" si="2"/>
        <v>4.5684704851817601</v>
      </c>
      <c r="U10" s="14">
        <f t="shared" si="2"/>
        <v>5.0248187259720662</v>
      </c>
      <c r="W10" s="39"/>
      <c r="X10" s="39"/>
      <c r="Y10" s="39"/>
      <c r="Z10" s="39"/>
      <c r="AA10" s="39"/>
      <c r="AB10" s="39"/>
    </row>
    <row r="11" spans="1:28" ht="15.6" x14ac:dyDescent="0.3">
      <c r="A11" s="10" t="s">
        <v>18</v>
      </c>
      <c r="B11" s="6">
        <v>157.68</v>
      </c>
      <c r="C11" s="6">
        <v>430.62</v>
      </c>
      <c r="D11" s="6">
        <v>485.44</v>
      </c>
      <c r="E11" s="6">
        <v>521.4</v>
      </c>
      <c r="F11" s="6">
        <v>558.20000000000005</v>
      </c>
      <c r="G11" s="6">
        <v>578.65</v>
      </c>
      <c r="H11" s="6">
        <v>670.35</v>
      </c>
      <c r="I11" s="6">
        <v>740.8</v>
      </c>
      <c r="J11" s="6">
        <v>891.45</v>
      </c>
      <c r="K11" s="7">
        <v>965.2</v>
      </c>
      <c r="L11" s="11">
        <v>1</v>
      </c>
      <c r="M11" s="14">
        <f t="shared" ref="M11:U11" si="3">C11/$B$11</f>
        <v>2.730974124809741</v>
      </c>
      <c r="N11" s="14">
        <f t="shared" si="3"/>
        <v>3.0786402841197362</v>
      </c>
      <c r="O11" s="14">
        <f t="shared" si="3"/>
        <v>3.3066971080669707</v>
      </c>
      <c r="P11" s="14">
        <f t="shared" si="3"/>
        <v>3.5400811770674787</v>
      </c>
      <c r="Q11" s="14">
        <f t="shared" si="3"/>
        <v>3.6697742262810751</v>
      </c>
      <c r="R11" s="14">
        <f t="shared" si="3"/>
        <v>4.2513318112633183</v>
      </c>
      <c r="S11" s="14">
        <f t="shared" si="3"/>
        <v>4.6981227803145602</v>
      </c>
      <c r="T11" s="14">
        <f t="shared" si="3"/>
        <v>5.6535388127853885</v>
      </c>
      <c r="U11" s="14">
        <f t="shared" si="3"/>
        <v>6.121258244545916</v>
      </c>
      <c r="W11" s="39"/>
      <c r="X11" s="39"/>
      <c r="Y11" s="39"/>
      <c r="Z11" s="39"/>
      <c r="AA11" s="39"/>
      <c r="AB11" s="39"/>
    </row>
    <row r="12" spans="1:28" ht="15.6" x14ac:dyDescent="0.3">
      <c r="A12" s="13" t="s">
        <v>19</v>
      </c>
      <c r="B12" s="6">
        <v>105.19</v>
      </c>
      <c r="C12" s="6">
        <v>290.69</v>
      </c>
      <c r="D12" s="6">
        <v>323.79000000000002</v>
      </c>
      <c r="E12" s="6">
        <v>349.75</v>
      </c>
      <c r="F12" s="6">
        <v>374.1</v>
      </c>
      <c r="G12" s="6">
        <v>388.4</v>
      </c>
      <c r="H12" s="6">
        <v>449.5</v>
      </c>
      <c r="I12" s="6">
        <v>496.35</v>
      </c>
      <c r="J12" s="6">
        <v>597.45000000000005</v>
      </c>
      <c r="K12" s="7">
        <v>647.29999999999995</v>
      </c>
      <c r="L12" s="11">
        <v>1</v>
      </c>
      <c r="M12" s="14">
        <f t="shared" ref="M12:U12" si="4">C12/$B$12</f>
        <v>2.7634756155528093</v>
      </c>
      <c r="N12" s="14">
        <f t="shared" si="4"/>
        <v>3.0781443102956558</v>
      </c>
      <c r="O12" s="14">
        <f t="shared" si="4"/>
        <v>3.3249358304021297</v>
      </c>
      <c r="P12" s="14">
        <f t="shared" si="4"/>
        <v>3.5564217130905984</v>
      </c>
      <c r="Q12" s="14">
        <f t="shared" si="4"/>
        <v>3.6923661945051811</v>
      </c>
      <c r="R12" s="14">
        <f t="shared" si="4"/>
        <v>4.2732198878220364</v>
      </c>
      <c r="S12" s="14">
        <f t="shared" si="4"/>
        <v>4.718604430078905</v>
      </c>
      <c r="T12" s="14">
        <f t="shared" si="4"/>
        <v>5.6797224070729166</v>
      </c>
      <c r="U12" s="14">
        <f t="shared" si="4"/>
        <v>6.1536267706055705</v>
      </c>
      <c r="W12" s="39"/>
      <c r="X12" s="39"/>
      <c r="Y12" s="39"/>
      <c r="Z12" s="39"/>
      <c r="AA12" s="39"/>
      <c r="AB12" s="39"/>
    </row>
    <row r="13" spans="1:28" ht="15.6" x14ac:dyDescent="0.3">
      <c r="A13" s="36" t="s">
        <v>20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W13" s="39"/>
      <c r="X13" s="39"/>
      <c r="Y13" s="39"/>
      <c r="Z13" s="39"/>
      <c r="AA13" s="39"/>
      <c r="AB13" s="39"/>
    </row>
    <row r="14" spans="1:28" ht="15.6" x14ac:dyDescent="0.3">
      <c r="A14" s="38" t="s">
        <v>21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W14" s="39"/>
      <c r="X14" s="39"/>
      <c r="Y14" s="39"/>
      <c r="Z14" s="39"/>
      <c r="AA14" s="39"/>
      <c r="AB14" s="39"/>
    </row>
    <row r="15" spans="1:28" ht="46.8" x14ac:dyDescent="0.3">
      <c r="A15" s="17" t="s">
        <v>2</v>
      </c>
      <c r="B15" s="18" t="s">
        <v>3</v>
      </c>
      <c r="C15" s="18" t="s">
        <v>4</v>
      </c>
      <c r="D15" s="18" t="s">
        <v>5</v>
      </c>
      <c r="E15" s="18" t="s">
        <v>6</v>
      </c>
      <c r="F15" s="18" t="s">
        <v>7</v>
      </c>
      <c r="G15" s="18" t="s">
        <v>8</v>
      </c>
      <c r="H15" s="18" t="s">
        <v>9</v>
      </c>
      <c r="I15" s="18" t="s">
        <v>10</v>
      </c>
      <c r="J15" s="18" t="s">
        <v>11</v>
      </c>
      <c r="K15" s="19" t="s">
        <v>12</v>
      </c>
      <c r="L15" s="20" t="s">
        <v>3</v>
      </c>
      <c r="M15" s="20" t="s">
        <v>4</v>
      </c>
      <c r="N15" s="20" t="s">
        <v>5</v>
      </c>
      <c r="O15" s="20" t="s">
        <v>6</v>
      </c>
      <c r="P15" s="20" t="s">
        <v>7</v>
      </c>
      <c r="Q15" s="20" t="s">
        <v>8</v>
      </c>
      <c r="R15" s="20" t="s">
        <v>9</v>
      </c>
      <c r="S15" s="20" t="s">
        <v>10</v>
      </c>
      <c r="T15" s="20" t="s">
        <v>11</v>
      </c>
      <c r="U15" s="20" t="s">
        <v>12</v>
      </c>
      <c r="W15" s="39"/>
      <c r="X15" s="39"/>
      <c r="Y15" s="39"/>
      <c r="Z15" s="39"/>
      <c r="AA15" s="39"/>
      <c r="AB15" s="39"/>
    </row>
    <row r="16" spans="1:28" ht="15.6" x14ac:dyDescent="0.3">
      <c r="A16" s="21"/>
      <c r="B16" s="6"/>
      <c r="C16" s="6"/>
      <c r="D16" s="6"/>
      <c r="E16" s="6"/>
      <c r="F16" s="6"/>
      <c r="G16" s="6"/>
      <c r="H16" s="6"/>
      <c r="I16" s="6"/>
      <c r="J16" s="6"/>
      <c r="K16" s="6"/>
      <c r="L16" s="22"/>
      <c r="M16" s="23"/>
      <c r="N16" s="23"/>
      <c r="O16" s="23"/>
      <c r="P16" s="23"/>
      <c r="Q16" s="23"/>
      <c r="R16" s="23"/>
      <c r="S16" s="23"/>
      <c r="T16" s="23"/>
      <c r="U16" s="23"/>
      <c r="W16" s="39"/>
      <c r="X16" s="39"/>
      <c r="Y16" s="39"/>
      <c r="Z16" s="39"/>
      <c r="AA16" s="39"/>
      <c r="AB16" s="39"/>
    </row>
    <row r="17" spans="1:28" ht="15.6" x14ac:dyDescent="0.3">
      <c r="A17" s="24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22"/>
      <c r="M17" s="23"/>
      <c r="N17" s="23"/>
      <c r="O17" s="23"/>
      <c r="P17" s="23"/>
      <c r="Q17" s="23"/>
      <c r="R17" s="23"/>
      <c r="S17" s="23"/>
      <c r="T17" s="23"/>
      <c r="U17" s="23"/>
      <c r="W17" s="39"/>
      <c r="X17" s="39"/>
      <c r="Y17" s="39"/>
      <c r="Z17" s="39"/>
      <c r="AA17" s="39"/>
      <c r="AB17" s="39"/>
    </row>
    <row r="18" spans="1:28" ht="15.6" x14ac:dyDescent="0.3">
      <c r="A18" s="25" t="s">
        <v>23</v>
      </c>
      <c r="B18" s="6">
        <v>880.22</v>
      </c>
      <c r="C18" s="6">
        <v>909.83</v>
      </c>
      <c r="D18" s="6">
        <v>937.65</v>
      </c>
      <c r="E18" s="6">
        <v>985.2</v>
      </c>
      <c r="F18" s="6">
        <v>1045.8</v>
      </c>
      <c r="G18" s="6">
        <v>1125.4000000000001</v>
      </c>
      <c r="H18" s="6">
        <v>1235.5999999999999</v>
      </c>
      <c r="I18" s="6">
        <v>1380.5</v>
      </c>
      <c r="J18" s="6">
        <v>1560.75</v>
      </c>
      <c r="K18" s="6">
        <v>1720.9</v>
      </c>
      <c r="L18" s="26">
        <v>1</v>
      </c>
      <c r="M18" s="27">
        <f t="shared" ref="M18:U18" si="5">C18/$B18</f>
        <v>1.0336393174433665</v>
      </c>
      <c r="N18" s="27">
        <f t="shared" si="5"/>
        <v>1.0652450523732702</v>
      </c>
      <c r="O18" s="27">
        <f t="shared" si="5"/>
        <v>1.1192656381359205</v>
      </c>
      <c r="P18" s="27">
        <f t="shared" si="5"/>
        <v>1.1881120628933675</v>
      </c>
      <c r="Q18" s="27">
        <f t="shared" si="5"/>
        <v>1.2785440003635455</v>
      </c>
      <c r="R18" s="27">
        <f t="shared" si="5"/>
        <v>1.4037399740973846</v>
      </c>
      <c r="S18" s="27">
        <f t="shared" si="5"/>
        <v>1.5683579105223693</v>
      </c>
      <c r="T18" s="27">
        <f t="shared" si="5"/>
        <v>1.7731362613891981</v>
      </c>
      <c r="U18" s="27">
        <f t="shared" si="5"/>
        <v>1.9550794119651906</v>
      </c>
      <c r="W18" s="39"/>
      <c r="X18" s="39"/>
      <c r="Y18" s="39"/>
      <c r="Z18" s="39"/>
      <c r="AA18" s="39"/>
      <c r="AB18" s="39"/>
    </row>
    <row r="19" spans="1:28" ht="15.6" x14ac:dyDescent="0.3">
      <c r="A19" s="28" t="s">
        <v>24</v>
      </c>
      <c r="B19" s="6">
        <v>89.77</v>
      </c>
      <c r="C19" s="6">
        <v>65.599999999999994</v>
      </c>
      <c r="D19" s="6">
        <v>172.49</v>
      </c>
      <c r="E19" s="6">
        <v>210.35</v>
      </c>
      <c r="F19" s="6">
        <v>245.8</v>
      </c>
      <c r="G19" s="6">
        <v>320.5</v>
      </c>
      <c r="H19" s="6">
        <v>425.6</v>
      </c>
      <c r="I19" s="6">
        <v>580.20000000000005</v>
      </c>
      <c r="J19" s="6">
        <v>720.45</v>
      </c>
      <c r="K19" s="6">
        <v>895.3</v>
      </c>
      <c r="L19" s="26">
        <v>1</v>
      </c>
      <c r="M19" s="27">
        <f t="shared" ref="M19:U19" si="6">C19/$B$19</f>
        <v>0.73075637740893395</v>
      </c>
      <c r="N19" s="27">
        <f t="shared" si="6"/>
        <v>1.9214659685863875</v>
      </c>
      <c r="O19" s="27">
        <f t="shared" si="6"/>
        <v>2.3432104266458729</v>
      </c>
      <c r="P19" s="27">
        <f t="shared" si="6"/>
        <v>2.7381084994987193</v>
      </c>
      <c r="Q19" s="27">
        <f t="shared" si="6"/>
        <v>3.5702350451152949</v>
      </c>
      <c r="R19" s="27">
        <f t="shared" si="6"/>
        <v>4.7410047900189376</v>
      </c>
      <c r="S19" s="27">
        <f t="shared" si="6"/>
        <v>6.4631836916564565</v>
      </c>
      <c r="T19" s="27">
        <f t="shared" si="6"/>
        <v>8.0255096357357694</v>
      </c>
      <c r="U19" s="27">
        <f t="shared" si="6"/>
        <v>9.9732650105825993</v>
      </c>
      <c r="W19" s="39"/>
      <c r="X19" s="39"/>
      <c r="Y19" s="39"/>
      <c r="Z19" s="39"/>
      <c r="AA19" s="39"/>
      <c r="AB19" s="39"/>
    </row>
    <row r="20" spans="1:28" ht="15.6" x14ac:dyDescent="0.3">
      <c r="A20" s="29" t="s">
        <v>25</v>
      </c>
      <c r="B20" s="30">
        <v>90</v>
      </c>
      <c r="C20" s="6">
        <v>4.1399999999999997</v>
      </c>
      <c r="D20" s="6">
        <v>4.9800000000000004</v>
      </c>
      <c r="E20" s="6">
        <v>26.07</v>
      </c>
      <c r="F20" s="6">
        <v>24.09</v>
      </c>
      <c r="G20" s="6">
        <v>341.53</v>
      </c>
      <c r="H20" s="6">
        <v>733.69</v>
      </c>
      <c r="I20" s="6">
        <v>3.74</v>
      </c>
      <c r="J20" s="6">
        <v>84.48</v>
      </c>
      <c r="K20" s="6">
        <v>145.04</v>
      </c>
      <c r="L20" s="26">
        <v>1</v>
      </c>
      <c r="M20" s="27">
        <f t="shared" ref="M20:U20" si="7">C20/$B$20</f>
        <v>4.5999999999999999E-2</v>
      </c>
      <c r="N20" s="27">
        <f t="shared" si="7"/>
        <v>5.5333333333333339E-2</v>
      </c>
      <c r="O20" s="27">
        <f t="shared" si="7"/>
        <v>0.28966666666666668</v>
      </c>
      <c r="P20" s="27">
        <f t="shared" si="7"/>
        <v>0.26766666666666666</v>
      </c>
      <c r="Q20" s="27">
        <f t="shared" si="7"/>
        <v>3.7947777777777776</v>
      </c>
      <c r="R20" s="27">
        <f t="shared" si="7"/>
        <v>8.1521111111111111</v>
      </c>
      <c r="S20" s="27">
        <f t="shared" si="7"/>
        <v>4.1555555555555561E-2</v>
      </c>
      <c r="T20" s="27">
        <f t="shared" si="7"/>
        <v>0.93866666666666676</v>
      </c>
      <c r="U20" s="27">
        <f t="shared" si="7"/>
        <v>1.6115555555555554</v>
      </c>
      <c r="W20" s="39"/>
      <c r="X20" s="39"/>
      <c r="Y20" s="39"/>
      <c r="Z20" s="39"/>
      <c r="AA20" s="39"/>
      <c r="AB20" s="39"/>
    </row>
    <row r="21" spans="1:28" ht="15.6" x14ac:dyDescent="0.3">
      <c r="A21" s="25" t="s">
        <v>26</v>
      </c>
      <c r="B21" s="6">
        <v>772.83</v>
      </c>
      <c r="C21" s="6">
        <v>1203.47</v>
      </c>
      <c r="D21" s="6">
        <v>1487.34</v>
      </c>
      <c r="E21" s="6">
        <v>1645.8</v>
      </c>
      <c r="F21" s="6">
        <v>1820.5</v>
      </c>
      <c r="G21" s="6">
        <v>2050.75</v>
      </c>
      <c r="H21" s="6">
        <v>2380.1999999999998</v>
      </c>
      <c r="I21" s="6">
        <v>2680.4</v>
      </c>
      <c r="J21" s="6">
        <v>3040.85</v>
      </c>
      <c r="K21" s="6">
        <v>3420.5</v>
      </c>
      <c r="L21" s="26">
        <v>1</v>
      </c>
      <c r="M21" s="27">
        <f t="shared" ref="M21:U21" si="8">C21/$B$21</f>
        <v>1.5572247454161976</v>
      </c>
      <c r="N21" s="27">
        <f t="shared" si="8"/>
        <v>1.9245370909514381</v>
      </c>
      <c r="O21" s="27">
        <f t="shared" si="8"/>
        <v>2.1295757152284458</v>
      </c>
      <c r="P21" s="27">
        <f t="shared" si="8"/>
        <v>2.3556280165107459</v>
      </c>
      <c r="Q21" s="27">
        <f t="shared" si="8"/>
        <v>2.653558997450927</v>
      </c>
      <c r="R21" s="27">
        <f t="shared" si="8"/>
        <v>3.0798493847288535</v>
      </c>
      <c r="S21" s="27">
        <f t="shared" si="8"/>
        <v>3.4682918623759429</v>
      </c>
      <c r="T21" s="27">
        <f t="shared" si="8"/>
        <v>3.9346945641344147</v>
      </c>
      <c r="U21" s="27">
        <f t="shared" si="8"/>
        <v>4.4259410219582573</v>
      </c>
      <c r="W21" s="39"/>
      <c r="X21" s="39"/>
      <c r="Y21" s="39"/>
      <c r="Z21" s="39"/>
      <c r="AA21" s="39"/>
      <c r="AB21" s="39"/>
    </row>
    <row r="22" spans="1:28" ht="15.6" x14ac:dyDescent="0.3">
      <c r="A22" s="31" t="s">
        <v>27</v>
      </c>
      <c r="B22" s="6">
        <v>1653.05</v>
      </c>
      <c r="C22" s="6">
        <v>2113.3000000000002</v>
      </c>
      <c r="D22" s="6">
        <v>2424.9899999999998</v>
      </c>
      <c r="E22" s="6">
        <v>2631</v>
      </c>
      <c r="F22" s="6">
        <v>2866.3</v>
      </c>
      <c r="G22" s="6">
        <v>3176.15</v>
      </c>
      <c r="H22" s="6">
        <v>3615.8</v>
      </c>
      <c r="I22" s="6">
        <v>4060.9</v>
      </c>
      <c r="J22" s="6">
        <v>4601.6000000000004</v>
      </c>
      <c r="K22" s="6">
        <v>5141.3999999999996</v>
      </c>
      <c r="L22" s="26">
        <v>1</v>
      </c>
      <c r="M22" s="27">
        <f t="shared" ref="M22:U22" si="9">C22/$B$22</f>
        <v>1.2784247300444633</v>
      </c>
      <c r="N22" s="27">
        <f t="shared" si="9"/>
        <v>1.4669792202292731</v>
      </c>
      <c r="O22" s="27">
        <f t="shared" si="9"/>
        <v>1.5916033997761714</v>
      </c>
      <c r="P22" s="27">
        <f t="shared" si="9"/>
        <v>1.7339463416109617</v>
      </c>
      <c r="Q22" s="27">
        <f t="shared" si="9"/>
        <v>1.9213877378179729</v>
      </c>
      <c r="R22" s="27">
        <f t="shared" si="9"/>
        <v>2.1873506548501256</v>
      </c>
      <c r="S22" s="27">
        <f t="shared" si="9"/>
        <v>2.4566105078491276</v>
      </c>
      <c r="T22" s="27">
        <f t="shared" si="9"/>
        <v>2.7837028523033185</v>
      </c>
      <c r="U22" s="27">
        <f t="shared" si="9"/>
        <v>3.1102507486161941</v>
      </c>
      <c r="W22" s="39"/>
      <c r="X22" s="39"/>
      <c r="Y22" s="39"/>
      <c r="Z22" s="39"/>
      <c r="AA22" s="39"/>
      <c r="AB22" s="39"/>
    </row>
    <row r="23" spans="1:28" ht="15.6" x14ac:dyDescent="0.3">
      <c r="A23" s="21"/>
      <c r="B23" s="6"/>
      <c r="C23" s="6"/>
      <c r="D23" s="6"/>
      <c r="E23" s="6"/>
      <c r="F23" s="6"/>
      <c r="G23" s="6"/>
      <c r="H23" s="6"/>
      <c r="I23" s="6"/>
      <c r="J23" s="6"/>
      <c r="K23" s="6"/>
      <c r="L23" s="26"/>
      <c r="M23" s="27"/>
      <c r="N23" s="27"/>
      <c r="O23" s="27"/>
      <c r="P23" s="27"/>
      <c r="Q23" s="27"/>
      <c r="R23" s="27"/>
      <c r="S23" s="27"/>
      <c r="T23" s="27"/>
      <c r="U23" s="27"/>
      <c r="W23" s="39"/>
      <c r="X23" s="39"/>
      <c r="Y23" s="39"/>
      <c r="Z23" s="39"/>
      <c r="AA23" s="39"/>
      <c r="AB23" s="39"/>
    </row>
    <row r="24" spans="1:28" ht="15.6" x14ac:dyDescent="0.3">
      <c r="A24" s="24" t="s">
        <v>28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26"/>
      <c r="M24" s="27"/>
      <c r="N24" s="27"/>
      <c r="O24" s="27"/>
      <c r="P24" s="27"/>
      <c r="Q24" s="27"/>
      <c r="R24" s="27"/>
      <c r="S24" s="27"/>
      <c r="T24" s="27"/>
      <c r="U24" s="27"/>
      <c r="W24" s="39"/>
      <c r="X24" s="39"/>
      <c r="Y24" s="39"/>
      <c r="Z24" s="39"/>
      <c r="AA24" s="39"/>
      <c r="AB24" s="39"/>
    </row>
    <row r="25" spans="1:28" ht="15.6" x14ac:dyDescent="0.3">
      <c r="A25" s="25" t="s">
        <v>29</v>
      </c>
      <c r="B25" s="6">
        <v>521.76</v>
      </c>
      <c r="C25" s="6">
        <v>665.39</v>
      </c>
      <c r="D25" s="6">
        <v>666.03</v>
      </c>
      <c r="E25" s="6">
        <v>680.5</v>
      </c>
      <c r="F25" s="6">
        <v>720.35</v>
      </c>
      <c r="G25" s="6">
        <v>750.2</v>
      </c>
      <c r="H25" s="6">
        <v>820.45</v>
      </c>
      <c r="I25" s="6">
        <v>900.6</v>
      </c>
      <c r="J25" s="6">
        <v>1020.75</v>
      </c>
      <c r="K25" s="6">
        <v>1150.2</v>
      </c>
      <c r="L25" s="26">
        <v>1</v>
      </c>
      <c r="M25" s="27">
        <f t="shared" ref="M25:U25" si="10">C25/$B$25</f>
        <v>1.2752798221404478</v>
      </c>
      <c r="N25" s="27">
        <f t="shared" si="10"/>
        <v>1.2765064397424102</v>
      </c>
      <c r="O25" s="27">
        <f t="shared" si="10"/>
        <v>1.3042394970867832</v>
      </c>
      <c r="P25" s="27">
        <f t="shared" si="10"/>
        <v>1.3806156087089851</v>
      </c>
      <c r="Q25" s="27">
        <f t="shared" si="10"/>
        <v>1.4378258203005214</v>
      </c>
      <c r="R25" s="27">
        <f t="shared" si="10"/>
        <v>1.5724662680159462</v>
      </c>
      <c r="S25" s="27">
        <f t="shared" si="10"/>
        <v>1.7260809567617297</v>
      </c>
      <c r="T25" s="27">
        <f t="shared" si="10"/>
        <v>1.9563592456301748</v>
      </c>
      <c r="U25" s="27">
        <f t="shared" si="10"/>
        <v>2.204461821527139</v>
      </c>
      <c r="W25" s="39"/>
      <c r="X25" s="39"/>
      <c r="Y25" s="39"/>
      <c r="Z25" s="39"/>
      <c r="AA25" s="39"/>
      <c r="AB25" s="39"/>
    </row>
    <row r="26" spans="1:28" ht="15.6" x14ac:dyDescent="0.3">
      <c r="A26" s="28" t="s">
        <v>30</v>
      </c>
      <c r="B26" s="6">
        <v>507.21</v>
      </c>
      <c r="C26" s="30">
        <v>650</v>
      </c>
      <c r="D26" s="30">
        <v>648</v>
      </c>
      <c r="E26" s="6">
        <v>349.26</v>
      </c>
      <c r="F26" s="6">
        <v>179.72</v>
      </c>
      <c r="G26" s="6">
        <v>289.79000000000002</v>
      </c>
      <c r="H26" s="6">
        <v>155</v>
      </c>
      <c r="I26" s="6">
        <v>597.17999999999995</v>
      </c>
      <c r="J26" s="6">
        <v>298.97000000000003</v>
      </c>
      <c r="K26" s="6">
        <v>299.81</v>
      </c>
      <c r="L26" s="26">
        <v>1</v>
      </c>
      <c r="M26" s="27">
        <f t="shared" ref="M26:U26" si="11">C26/$B$26</f>
        <v>1.2815204747540467</v>
      </c>
      <c r="N26" s="27">
        <f t="shared" si="11"/>
        <v>1.2775773348317265</v>
      </c>
      <c r="O26" s="27">
        <f t="shared" si="11"/>
        <v>0.68859052463476667</v>
      </c>
      <c r="P26" s="27">
        <f t="shared" si="11"/>
        <v>0.35433055341968811</v>
      </c>
      <c r="Q26" s="27">
        <f t="shared" si="11"/>
        <v>0.57134125904457722</v>
      </c>
      <c r="R26" s="27">
        <f t="shared" si="11"/>
        <v>0.30559334397981114</v>
      </c>
      <c r="S26" s="27">
        <f t="shared" si="11"/>
        <v>1.1773821494055716</v>
      </c>
      <c r="T26" s="27">
        <f t="shared" si="11"/>
        <v>0.58944027128802678</v>
      </c>
      <c r="U26" s="27">
        <f t="shared" si="11"/>
        <v>0.59109639005540116</v>
      </c>
      <c r="W26" s="39"/>
      <c r="X26" s="39"/>
      <c r="Y26" s="39"/>
      <c r="Z26" s="39"/>
      <c r="AA26" s="39"/>
      <c r="AB26" s="39"/>
    </row>
    <row r="27" spans="1:28" ht="15.6" x14ac:dyDescent="0.3">
      <c r="A27" s="25" t="s">
        <v>31</v>
      </c>
      <c r="B27" s="6">
        <v>902.57</v>
      </c>
      <c r="C27" s="6">
        <v>930.16</v>
      </c>
      <c r="D27" s="6">
        <v>969.46</v>
      </c>
      <c r="E27" s="6">
        <v>1025.3</v>
      </c>
      <c r="F27" s="6">
        <v>1100.45</v>
      </c>
      <c r="G27" s="6">
        <v>1220.5999999999999</v>
      </c>
      <c r="H27" s="6">
        <v>1380.2</v>
      </c>
      <c r="I27" s="6">
        <v>1520.4</v>
      </c>
      <c r="J27" s="6">
        <v>1680.75</v>
      </c>
      <c r="K27" s="6">
        <v>1850.3</v>
      </c>
      <c r="L27" s="26">
        <v>1</v>
      </c>
      <c r="M27" s="27">
        <f t="shared" ref="M27:U27" si="12">C27/$B$27</f>
        <v>1.0305682661732607</v>
      </c>
      <c r="N27" s="27">
        <f t="shared" si="12"/>
        <v>1.0741105953000876</v>
      </c>
      <c r="O27" s="27">
        <f t="shared" si="12"/>
        <v>1.1359783728685862</v>
      </c>
      <c r="P27" s="27">
        <f t="shared" si="12"/>
        <v>1.2192406129164497</v>
      </c>
      <c r="Q27" s="27">
        <f t="shared" si="12"/>
        <v>1.3523604817354884</v>
      </c>
      <c r="R27" s="27">
        <f t="shared" si="12"/>
        <v>1.5291888717772582</v>
      </c>
      <c r="S27" s="27">
        <f t="shared" si="12"/>
        <v>1.684523084082121</v>
      </c>
      <c r="T27" s="27">
        <f t="shared" si="12"/>
        <v>1.8621824346034102</v>
      </c>
      <c r="U27" s="27">
        <f t="shared" si="12"/>
        <v>2.0500349003401395</v>
      </c>
      <c r="W27" s="39"/>
      <c r="X27" s="39"/>
      <c r="Y27" s="39"/>
      <c r="Z27" s="39"/>
      <c r="AA27" s="39"/>
      <c r="AB27" s="39"/>
    </row>
    <row r="28" spans="1:28" ht="15.6" x14ac:dyDescent="0.3">
      <c r="A28" s="31" t="s">
        <v>32</v>
      </c>
      <c r="B28" s="6">
        <v>1424.33</v>
      </c>
      <c r="C28" s="6">
        <v>1595.55</v>
      </c>
      <c r="D28" s="6">
        <v>1635.49</v>
      </c>
      <c r="E28" s="6">
        <v>1705.8</v>
      </c>
      <c r="F28" s="6">
        <v>1820.8</v>
      </c>
      <c r="G28" s="6">
        <v>1970.8</v>
      </c>
      <c r="H28" s="6">
        <v>2200.65</v>
      </c>
      <c r="I28" s="6">
        <v>2421</v>
      </c>
      <c r="J28" s="6">
        <v>2701.5</v>
      </c>
      <c r="K28" s="6">
        <v>3000.5</v>
      </c>
      <c r="L28" s="26">
        <v>1</v>
      </c>
      <c r="M28" s="27">
        <f t="shared" ref="M28:U28" si="13">C28/$B$28</f>
        <v>1.1202109061804497</v>
      </c>
      <c r="N28" s="27">
        <f t="shared" si="13"/>
        <v>1.1482521606650145</v>
      </c>
      <c r="O28" s="27">
        <f t="shared" si="13"/>
        <v>1.1976157210758742</v>
      </c>
      <c r="P28" s="27">
        <f t="shared" si="13"/>
        <v>1.2783554372933239</v>
      </c>
      <c r="Q28" s="27">
        <f t="shared" si="13"/>
        <v>1.383668110620432</v>
      </c>
      <c r="R28" s="27">
        <f t="shared" si="13"/>
        <v>1.5450422303820044</v>
      </c>
      <c r="S28" s="27">
        <f t="shared" si="13"/>
        <v>1.6997465474995261</v>
      </c>
      <c r="T28" s="27">
        <f t="shared" si="13"/>
        <v>1.8966812466212184</v>
      </c>
      <c r="U28" s="27">
        <f t="shared" si="13"/>
        <v>2.1066045087865874</v>
      </c>
      <c r="W28" s="39"/>
      <c r="X28" s="39"/>
      <c r="Y28" s="39"/>
      <c r="Z28" s="39"/>
      <c r="AA28" s="39"/>
      <c r="AB28" s="39"/>
    </row>
  </sheetData>
  <mergeCells count="4">
    <mergeCell ref="A1:U1"/>
    <mergeCell ref="A2:U2"/>
    <mergeCell ref="A13:U13"/>
    <mergeCell ref="A14:U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gdsarath5323@gmail.com</dc:creator>
  <cp:lastModifiedBy>gdsarath5323@gmail.com</cp:lastModifiedBy>
  <dcterms:created xsi:type="dcterms:W3CDTF">2026-01-05T08:04:30Z</dcterms:created>
  <dcterms:modified xsi:type="dcterms:W3CDTF">2026-03-10T14:55:43Z</dcterms:modified>
</cp:coreProperties>
</file>